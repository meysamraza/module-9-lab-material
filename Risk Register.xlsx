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BD60601-C99E-4E4D-A3D0-028D817D2EB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cope and scales" sheetId="1" r:id="rId1"/>
    <sheet name="Risk register" sheetId="2" r:id="rId2"/>
    <sheet name="Heat map" sheetId="3" r:id="rId3"/>
    <sheet name="ALE" sheetId="4" r:id="rId4"/>
    <sheet name="Mini SoA" sheetId="5" r:id="rId5"/>
    <sheet name="Treatment plan" sheetId="6" r:id="rId6"/>
    <sheet name="Risk acceptance form" sheetId="7" r:id="rId7"/>
    <sheet name="Exec summary" sheetId="8" r:id="rId8"/>
  </sheets>
  <definedNames>
    <definedName name="_xlnm._FilterDatabase" localSheetId="1" hidden="1">'Risk register'!$A$1:$M$13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8" l="1"/>
  <c r="B8" i="8"/>
  <c r="K13" i="2"/>
  <c r="L13" i="2" s="1"/>
  <c r="G13" i="2"/>
  <c r="K12" i="2"/>
  <c r="L12" i="2" s="1"/>
  <c r="G12" i="2"/>
  <c r="K11" i="2"/>
  <c r="L11" i="2" s="1"/>
  <c r="G11" i="2"/>
  <c r="K10" i="2"/>
  <c r="L10" i="2" s="1"/>
  <c r="G10" i="2"/>
  <c r="K9" i="2"/>
  <c r="L9" i="2" s="1"/>
  <c r="G9" i="2"/>
  <c r="K8" i="2"/>
  <c r="L8" i="2" s="1"/>
  <c r="G8" i="2"/>
  <c r="K7" i="2"/>
  <c r="L7" i="2" s="1"/>
  <c r="G7" i="2"/>
  <c r="K6" i="2"/>
  <c r="L6" i="2" s="1"/>
  <c r="G6" i="2"/>
  <c r="K5" i="2"/>
  <c r="L5" i="2" s="1"/>
  <c r="G5" i="2"/>
  <c r="K4" i="2"/>
  <c r="L4" i="2" s="1"/>
  <c r="G4" i="2"/>
  <c r="K3" i="2"/>
  <c r="L3" i="2" s="1"/>
  <c r="G3" i="2"/>
  <c r="F4" i="4" l="1"/>
  <c r="F3" i="4"/>
  <c r="F19" i="8"/>
  <c r="F2" i="4"/>
  <c r="B13" i="8"/>
  <c r="A13" i="8" s="1"/>
  <c r="B14" i="8"/>
  <c r="A14" i="8" s="1"/>
  <c r="B15" i="8"/>
  <c r="A15" i="8" s="1"/>
  <c r="L2" i="2"/>
  <c r="F18" i="8" l="1"/>
  <c r="C13" i="8"/>
  <c r="D13" i="8"/>
  <c r="C14" i="8"/>
  <c r="D14" i="8"/>
  <c r="D15" i="8"/>
  <c r="C15" i="8"/>
  <c r="E8" i="8"/>
  <c r="H8" i="8"/>
  <c r="B9" i="8"/>
  <c r="F21" i="8" l="1"/>
</calcChain>
</file>

<file path=xl/sharedStrings.xml><?xml version="1.0" encoding="utf-8"?>
<sst xmlns="http://schemas.openxmlformats.org/spreadsheetml/2006/main" count="230" uniqueCount="167">
  <si>
    <t>NimbusDesk Ltd. — Scope and scales</t>
  </si>
  <si>
    <t>Company</t>
  </si>
  <si>
    <t>NimbusDesk Ltd.</t>
  </si>
  <si>
    <t>Risk appetite</t>
  </si>
  <si>
    <t>In-scope</t>
  </si>
  <si>
    <t>AWS, Microsoft 365, support chat vendor, email vendor</t>
  </si>
  <si>
    <t>15+</t>
  </si>
  <si>
    <t>Must treat (Sara decides)</t>
  </si>
  <si>
    <t>Prepared by</t>
  </si>
  <si>
    <t>8 to 14</t>
  </si>
  <si>
    <t>Treatment plan or signed acceptance</t>
  </si>
  <si>
    <t>Date</t>
  </si>
  <si>
    <t>7 or below</t>
  </si>
  <si>
    <t>Owner can accept</t>
  </si>
  <si>
    <t>Likelihood</t>
  </si>
  <si>
    <t>Impact</t>
  </si>
  <si>
    <t>Bands</t>
  </si>
  <si>
    <t>Rare</t>
  </si>
  <si>
    <t>under $5K</t>
  </si>
  <si>
    <t>1-7</t>
  </si>
  <si>
    <t>Green</t>
  </si>
  <si>
    <t>Unlikely</t>
  </si>
  <si>
    <t>up to $25K</t>
  </si>
  <si>
    <t>8-14</t>
  </si>
  <si>
    <t>Yellow</t>
  </si>
  <si>
    <t>Possible</t>
  </si>
  <si>
    <t>up to $100K</t>
  </si>
  <si>
    <t>15-25</t>
  </si>
  <si>
    <t>Red</t>
  </si>
  <si>
    <t>Likely</t>
  </si>
  <si>
    <t>up to $500K</t>
  </si>
  <si>
    <t>Almost certain</t>
  </si>
  <si>
    <t>over $500K</t>
  </si>
  <si>
    <t>ID</t>
  </si>
  <si>
    <t>Risk statement (threat + weakness + asset + effect)</t>
  </si>
  <si>
    <t>Asset</t>
  </si>
  <si>
    <t>Owner</t>
  </si>
  <si>
    <t>Inherent L</t>
  </si>
  <si>
    <t>Inherent I</t>
  </si>
  <si>
    <t>Inherent Score</t>
  </si>
  <si>
    <t>Existing control</t>
  </si>
  <si>
    <t>Residual L</t>
  </si>
  <si>
    <t>Residual I</t>
  </si>
  <si>
    <t>Residual Score</t>
  </si>
  <si>
    <t>Band</t>
  </si>
  <si>
    <t>Reason for scores</t>
  </si>
  <si>
    <t>R1</t>
  </si>
  <si>
    <t>Nida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</si>
  <si>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</si>
  <si>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</si>
  <si>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</si>
  <si>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</si>
  <si>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</si>
  <si>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</si>
  <si>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</si>
  <si>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</si>
  <si>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</si>
  <si>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</si>
  <si>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</si>
  <si>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Inherent heat map</t>
  </si>
  <si>
    <t>Residual heat map</t>
  </si>
  <si>
    <t>Impact ↑ / Likelihood →</t>
  </si>
  <si>
    <t>1
Risk IDs:</t>
  </si>
  <si>
    <t>2
Risk IDs:</t>
  </si>
  <si>
    <t>3
Risk IDs:</t>
  </si>
  <si>
    <t>4
Risk IDs:</t>
  </si>
  <si>
    <t>5
Risk IDs:</t>
  </si>
  <si>
    <t>6
Risk IDs:</t>
  </si>
  <si>
    <t>8
Risk IDs:</t>
  </si>
  <si>
    <t>10
Risk IDs:</t>
  </si>
  <si>
    <t>9
Risk IDs:</t>
  </si>
  <si>
    <t>12
Risk IDs:</t>
  </si>
  <si>
    <t>15
Risk IDs:</t>
  </si>
  <si>
    <t>16
Risk IDs:</t>
  </si>
  <si>
    <t>20
Risk IDs:</t>
  </si>
  <si>
    <t>25
Risk IDs:</t>
  </si>
  <si>
    <t>Risk</t>
  </si>
  <si>
    <t>Asset value</t>
  </si>
  <si>
    <t>Exposure factor</t>
  </si>
  <si>
    <t>SLE</t>
  </si>
  <si>
    <t>ARO now</t>
  </si>
  <si>
    <t>ALE now</t>
  </si>
  <si>
    <t>Control</t>
  </si>
  <si>
    <t>Control cost/yr</t>
  </si>
  <si>
    <t>ARO after</t>
  </si>
  <si>
    <t>ALE after</t>
  </si>
  <si>
    <t>ALE reduction</t>
  </si>
  <si>
    <t>Net benefit</t>
  </si>
  <si>
    <t>Buy? (Yes if net benefit &gt; 0)</t>
  </si>
  <si>
    <t>A: S3 leak</t>
  </si>
  <si>
    <t>S3 access review tool</t>
  </si>
  <si>
    <t>B: Ex-employee misuse</t>
  </si>
  <si>
    <t>Offboarding automation</t>
  </si>
  <si>
    <t>C: Failed restore</t>
  </si>
  <si>
    <t>Restore test program</t>
  </si>
  <si>
    <t>Risk ID</t>
  </si>
  <si>
    <t>Control reference</t>
  </si>
  <si>
    <t>Applicable? (Y/N)</t>
  </si>
  <si>
    <t>Reason</t>
  </si>
  <si>
    <t>Control owner</t>
  </si>
  <si>
    <t>Evidence an auditor can see</t>
  </si>
  <si>
    <t>Allowed controls</t>
  </si>
  <si>
    <t>ISO 27002 Access control</t>
  </si>
  <si>
    <t>Y</t>
  </si>
  <si>
    <t>Late removal of ex-staff accounts</t>
  </si>
  <si>
    <t>Bilal</t>
  </si>
  <si>
    <t>Offboarding checklist signed by HR and IT</t>
  </si>
  <si>
    <t>CLD.6.3.1</t>
  </si>
  <si>
    <t>CLD.8.1.5</t>
  </si>
  <si>
    <t>CLD.9.5.1</t>
  </si>
  <si>
    <t>CLD.12.1.5</t>
  </si>
  <si>
    <t>CLD.12.4.5</t>
  </si>
  <si>
    <t>ISO 27002: access control</t>
  </si>
  <si>
    <t>privileged access rights</t>
  </si>
  <si>
    <t>supplier relationships</t>
  </si>
  <si>
    <t>information security in supplier agreements</t>
  </si>
  <si>
    <t>information backup</t>
  </si>
  <si>
    <t>logging and monitoring</t>
  </si>
  <si>
    <t>change management</t>
  </si>
  <si>
    <t>test information protection</t>
  </si>
  <si>
    <t>user endpoint devices (BYOD)</t>
  </si>
  <si>
    <t>information deletion</t>
  </si>
  <si>
    <t>Paper decisions only. No technical fixes.</t>
  </si>
  <si>
    <t>Rank</t>
  </si>
  <si>
    <t>Residual score</t>
  </si>
  <si>
    <t>Option (dropdown: Mitigate/Transfer/Avoid/Accept)</t>
  </si>
  <si>
    <t>Action</t>
  </si>
  <si>
    <t>Budget</t>
  </si>
  <si>
    <t>Due date</t>
  </si>
  <si>
    <t>Target residual score</t>
  </si>
  <si>
    <t>Risk Acceptance Form</t>
  </si>
  <si>
    <t>Risk statement</t>
  </si>
  <si>
    <t>Residual score and band (must be Yellow)</t>
  </si>
  <si>
    <t>Rationale</t>
  </si>
  <si>
    <t>Why not treat now</t>
  </si>
  <si>
    <t>Compensating measures</t>
  </si>
  <si>
    <t>Risk owner</t>
  </si>
  <si>
    <t>Signature</t>
  </si>
  <si>
    <t>Approver (Sara)</t>
  </si>
  <si>
    <t>Expiry date</t>
  </si>
  <si>
    <t>Review date</t>
  </si>
  <si>
    <t>Triggers for early review</t>
  </si>
  <si>
    <t>Acceptance rule</t>
  </si>
  <si>
    <t>Residual score must be Yellow (8–14) for this form.</t>
  </si>
  <si>
    <t>NimbusDesk Ltd. — Executive Summary</t>
  </si>
  <si>
    <t>To</t>
  </si>
  <si>
    <t>Sara</t>
  </si>
  <si>
    <t>From</t>
  </si>
  <si>
    <t>GRC lead</t>
  </si>
  <si>
    <t>1. Overall picture</t>
  </si>
  <si>
    <t>Total</t>
  </si>
  <si>
    <t>2. Top 3 risks</t>
  </si>
  <si>
    <t>Score</t>
  </si>
  <si>
    <t>Why it matters</t>
  </si>
  <si>
    <t>3. Recommendations</t>
  </si>
  <si>
    <t>4. ALE result</t>
  </si>
  <si>
    <t>Cost per year</t>
  </si>
  <si>
    <t>Risk from __ to __</t>
  </si>
  <si>
    <t>Total ALE now</t>
  </si>
  <si>
    <t>Total ALE after</t>
  </si>
  <si>
    <t>Total control cost</t>
  </si>
  <si>
    <t>6. Next 90 days</t>
  </si>
  <si>
    <t>5. Decisions needed from Sara</t>
  </si>
  <si>
    <t>Ex-staff accounts removed late</t>
  </si>
  <si>
    <t>Our whole steup (Whole DB, code, Infra)</t>
  </si>
  <si>
    <t>None</t>
  </si>
  <si>
    <t>72000-24000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</si>
</sst>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4"/>
      <name val="Montserrat"/>
    </font>
    <font>
      <b/>
      <sz val="11"/>
      <name val="Montserrat"/>
    </font>
    <font>
      <b/>
      <sz val="10"/>
      <name val="Montserrat"/>
    </font>
    <font>
      <sz val="10"/>
      <name val="Montserrat"/>
    </font>
    <font>
      <b/>
      <sz val="13"/>
      <name val="Montserrat"/>
    </font>
    <font>
      <b/>
      <sz val="15"/>
      <name val="Montserrat"/>
    </font>
    <font>
      <sz val="11"/>
      <color theme="1"/>
      <name val="Montserrat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7" fillId="0" borderId="1" xfId="0" applyFont="1" applyBorder="1" applyAlignment="1">
      <alignment wrapText="1"/>
    </xf>
    <xf numFmtId="0" fontId="2" fillId="0" borderId="0" xfId="0" applyFont="1"/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3" fillId="0" borderId="0" xfId="0" applyFont="1"/>
    <xf numFmtId="165" fontId="4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/>
    <xf numFmtId="164" fontId="7" fillId="0" borderId="1" xfId="0" applyNumberFormat="1" applyFont="1" applyBorder="1"/>
    <xf numFmtId="0" fontId="8" fillId="0" borderId="0" xfId="0" applyFont="1" applyAlignment="1">
      <alignment horizontal="justify" vertical="center"/>
    </xf>
    <xf numFmtId="0" fontId="2" fillId="2" borderId="0" xfId="0" applyFont="1" applyFill="1" applyAlignment="1">
      <alignment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6" fillId="0" borderId="0" xfId="0" applyFont="1"/>
  </cellXfs>
  <cellStyles count="1">
    <cellStyle name="Normal" xfId="0" builtinId="0"/>
  </cellStyles>
  <dxfs count="9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8" customWidth="1"/>
    <col min="4" max="4" width="16" customWidth="1"/>
    <col min="5" max="5" width="34" customWidth="1"/>
    <col min="7" max="7" width="12" customWidth="1"/>
    <col min="8" max="8" width="14" customWidth="1"/>
  </cols>
  <sheetData>
    <row r="1" spans="1:8" ht="21.6" x14ac:dyDescent="0.5">
      <c r="A1" s="1" t="s">
        <v>0</v>
      </c>
    </row>
    <row r="3" spans="1:8" ht="16.8" x14ac:dyDescent="0.4">
      <c r="A3" s="2" t="s">
        <v>1</v>
      </c>
      <c r="B3" s="3" t="s">
        <v>2</v>
      </c>
      <c r="D3" s="4" t="s">
        <v>3</v>
      </c>
    </row>
    <row r="4" spans="1:8" ht="50.4" x14ac:dyDescent="0.4">
      <c r="A4" s="2" t="s">
        <v>4</v>
      </c>
      <c r="B4" s="3" t="s">
        <v>5</v>
      </c>
      <c r="D4" s="5" t="s">
        <v>6</v>
      </c>
      <c r="E4" s="3" t="s">
        <v>7</v>
      </c>
    </row>
    <row r="5" spans="1:8" ht="33.6" x14ac:dyDescent="0.4">
      <c r="A5" s="2" t="s">
        <v>8</v>
      </c>
      <c r="B5" s="3"/>
      <c r="D5" s="5" t="s">
        <v>9</v>
      </c>
      <c r="E5" s="3" t="s">
        <v>10</v>
      </c>
    </row>
    <row r="6" spans="1:8" ht="16.8" x14ac:dyDescent="0.4">
      <c r="A6" s="2" t="s">
        <v>11</v>
      </c>
      <c r="B6" s="3"/>
      <c r="D6" s="5" t="s">
        <v>12</v>
      </c>
      <c r="E6" s="3" t="s">
        <v>13</v>
      </c>
    </row>
    <row r="9" spans="1:8" ht="16.2" x14ac:dyDescent="0.3">
      <c r="A9" s="6" t="s">
        <v>14</v>
      </c>
      <c r="B9" s="6"/>
      <c r="D9" s="6" t="s">
        <v>15</v>
      </c>
      <c r="E9" s="6"/>
      <c r="G9" s="6" t="s">
        <v>16</v>
      </c>
      <c r="H9" s="6"/>
    </row>
    <row r="10" spans="1:8" ht="16.2" x14ac:dyDescent="0.3">
      <c r="A10" s="7">
        <v>1</v>
      </c>
      <c r="B10" s="7" t="s">
        <v>17</v>
      </c>
      <c r="D10" s="7">
        <v>1</v>
      </c>
      <c r="E10" s="7" t="s">
        <v>18</v>
      </c>
      <c r="G10" s="8" t="s">
        <v>19</v>
      </c>
      <c r="H10" s="8" t="s">
        <v>20</v>
      </c>
    </row>
    <row r="11" spans="1:8" ht="16.2" x14ac:dyDescent="0.3">
      <c r="A11" s="7">
        <v>2</v>
      </c>
      <c r="B11" s="7" t="s">
        <v>21</v>
      </c>
      <c r="D11" s="7">
        <v>2</v>
      </c>
      <c r="E11" s="7" t="s">
        <v>22</v>
      </c>
      <c r="G11" s="9" t="s">
        <v>23</v>
      </c>
      <c r="H11" s="9" t="s">
        <v>24</v>
      </c>
    </row>
    <row r="12" spans="1:8" ht="16.2" x14ac:dyDescent="0.3">
      <c r="A12" s="7">
        <v>3</v>
      </c>
      <c r="B12" s="7" t="s">
        <v>25</v>
      </c>
      <c r="D12" s="7">
        <v>3</v>
      </c>
      <c r="E12" s="7" t="s">
        <v>26</v>
      </c>
      <c r="G12" s="10" t="s">
        <v>27</v>
      </c>
      <c r="H12" s="10" t="s">
        <v>28</v>
      </c>
    </row>
    <row r="13" spans="1:8" ht="16.2" x14ac:dyDescent="0.3">
      <c r="A13" s="7">
        <v>4</v>
      </c>
      <c r="B13" s="7" t="s">
        <v>29</v>
      </c>
      <c r="D13" s="7">
        <v>4</v>
      </c>
      <c r="E13" s="7" t="s">
        <v>30</v>
      </c>
    </row>
    <row r="14" spans="1:8" ht="16.2" x14ac:dyDescent="0.3">
      <c r="A14" s="7">
        <v>5</v>
      </c>
      <c r="B14" s="7" t="s">
        <v>31</v>
      </c>
      <c r="D14" s="7">
        <v>5</v>
      </c>
      <c r="E14" s="7" t="s">
        <v>32</v>
      </c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"/>
  <sheetViews>
    <sheetView showGridLines="0" zoomScale="95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8" customWidth="1"/>
    <col min="2" max="2" width="48" customWidth="1"/>
    <col min="3" max="3" width="22" customWidth="1"/>
    <col min="4" max="4" width="14" customWidth="1"/>
    <col min="5" max="5" width="15.6640625" customWidth="1"/>
    <col min="6" max="6" width="18.109375" customWidth="1"/>
    <col min="7" max="7" width="14" customWidth="1"/>
    <col min="8" max="8" width="30" customWidth="1"/>
    <col min="9" max="9" width="22.88671875" customWidth="1"/>
    <col min="10" max="10" width="11" customWidth="1"/>
    <col min="11" max="11" width="14" customWidth="1"/>
    <col min="12" max="12" width="12" customWidth="1"/>
    <col min="13" max="13" width="34" customWidth="1"/>
  </cols>
  <sheetData>
    <row r="1" spans="1:13" ht="37.950000000000003" customHeight="1" x14ac:dyDescent="0.3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</row>
    <row r="2" spans="1:13" ht="48.6" x14ac:dyDescent="0.3">
      <c r="A2" s="7" t="s">
        <v>46</v>
      </c>
      <c r="B2" s="22" t="s">
        <v>163</v>
      </c>
      <c r="C2" s="7" t="s">
        <v>164</v>
      </c>
      <c r="D2" s="7" t="s">
        <v>47</v>
      </c>
      <c r="E2" s="7">
        <v>3</v>
      </c>
      <c r="F2" s="7">
        <v>5</v>
      </c>
      <c r="G2" s="7">
        <v>9</v>
      </c>
      <c r="H2" s="7" t="s">
        <v>165</v>
      </c>
      <c r="I2" s="7">
        <v>3</v>
      </c>
      <c r="J2" s="7">
        <v>3</v>
      </c>
      <c r="K2" s="7">
        <v>9</v>
      </c>
      <c r="L2" s="7" t="str">
        <f t="shared" ref="L2:L13" si="0">IF(K2="","",IF(K2&gt;=15,"Red",IF(K2&gt;=8,"Yellow","Green")))</f>
        <v>Yellow</v>
      </c>
      <c r="M2" s="7"/>
    </row>
    <row r="3" spans="1:13" ht="16.2" x14ac:dyDescent="0.3">
      <c r="A3" s="7" t="s">
        <v>48</v>
      </c>
      <c r="B3" s="7"/>
      <c r="C3" s="7"/>
      <c r="D3" s="7"/>
      <c r="E3" s="7"/>
      <c r="F3" s="7"/>
      <c r="G3" s="7" t="str">
        <f t="shared" ref="G3:G13" si="1">IF(OR(E3="",F3=""),"",E3*F3)</f>
        <v/>
      </c>
      <c r="H3" s="7"/>
      <c r="I3" s="7"/>
      <c r="J3" s="7"/>
      <c r="K3" s="7" t="str">
        <f t="shared" ref="K3:K13" si="2">IF(OR(I3="",J3=""),"",I3*J3)</f>
        <v/>
      </c>
      <c r="L3" s="7" t="str">
        <f t="shared" si="0"/>
        <v/>
      </c>
      <c r="M3" s="7"/>
    </row>
    <row r="4" spans="1:13" ht="16.2" x14ac:dyDescent="0.3">
      <c r="A4" s="7" t="s">
        <v>49</v>
      </c>
      <c r="B4" s="7"/>
      <c r="C4" s="7"/>
      <c r="D4" s="7"/>
      <c r="E4" s="7"/>
      <c r="F4" s="7"/>
      <c r="G4" s="7" t="str">
        <f t="shared" si="1"/>
        <v/>
      </c>
      <c r="H4" s="7"/>
      <c r="I4" s="7"/>
      <c r="J4" s="7"/>
      <c r="K4" s="7" t="str">
        <f t="shared" si="2"/>
        <v/>
      </c>
      <c r="L4" s="7" t="str">
        <f t="shared" si="0"/>
        <v/>
      </c>
      <c r="M4" s="7"/>
    </row>
    <row r="5" spans="1:13" ht="16.2" x14ac:dyDescent="0.3">
      <c r="A5" s="7" t="s">
        <v>50</v>
      </c>
      <c r="B5" s="7"/>
      <c r="C5" s="7"/>
      <c r="D5" s="7"/>
      <c r="E5" s="7"/>
      <c r="F5" s="7"/>
      <c r="G5" s="7" t="str">
        <f t="shared" si="1"/>
        <v/>
      </c>
      <c r="H5" s="7"/>
      <c r="I5" s="7"/>
      <c r="J5" s="7"/>
      <c r="K5" s="7" t="str">
        <f t="shared" si="2"/>
        <v/>
      </c>
      <c r="L5" s="7" t="str">
        <f t="shared" si="0"/>
        <v/>
      </c>
      <c r="M5" s="7"/>
    </row>
    <row r="6" spans="1:13" ht="16.2" x14ac:dyDescent="0.3">
      <c r="A6" s="7" t="s">
        <v>51</v>
      </c>
      <c r="B6" s="7"/>
      <c r="C6" s="7"/>
      <c r="D6" s="7"/>
      <c r="E6" s="7"/>
      <c r="F6" s="7"/>
      <c r="G6" s="7" t="str">
        <f t="shared" si="1"/>
        <v/>
      </c>
      <c r="H6" s="7"/>
      <c r="I6" s="7"/>
      <c r="J6" s="7"/>
      <c r="K6" s="7" t="str">
        <f t="shared" si="2"/>
        <v/>
      </c>
      <c r="L6" s="7" t="str">
        <f t="shared" si="0"/>
        <v/>
      </c>
      <c r="M6" s="7"/>
    </row>
    <row r="7" spans="1:13" ht="16.2" x14ac:dyDescent="0.3">
      <c r="A7" s="7" t="s">
        <v>52</v>
      </c>
      <c r="B7" s="7"/>
      <c r="C7" s="7"/>
      <c r="D7" s="7"/>
      <c r="E7" s="7"/>
      <c r="F7" s="7"/>
      <c r="G7" s="7" t="str">
        <f t="shared" si="1"/>
        <v/>
      </c>
      <c r="H7" s="7"/>
      <c r="I7" s="7"/>
      <c r="J7" s="7"/>
      <c r="K7" s="7" t="str">
        <f t="shared" si="2"/>
        <v/>
      </c>
      <c r="L7" s="7" t="str">
        <f t="shared" si="0"/>
        <v/>
      </c>
      <c r="M7" s="7"/>
    </row>
    <row r="8" spans="1:13" ht="16.2" x14ac:dyDescent="0.3">
      <c r="A8" s="7" t="s">
        <v>53</v>
      </c>
      <c r="B8" s="7"/>
      <c r="C8" s="7"/>
      <c r="D8" s="7"/>
      <c r="E8" s="7"/>
      <c r="F8" s="7"/>
      <c r="G8" s="7" t="str">
        <f t="shared" si="1"/>
        <v/>
      </c>
      <c r="H8" s="7"/>
      <c r="I8" s="7"/>
      <c r="J8" s="7"/>
      <c r="K8" s="7" t="str">
        <f t="shared" si="2"/>
        <v/>
      </c>
      <c r="L8" s="7" t="str">
        <f t="shared" si="0"/>
        <v/>
      </c>
      <c r="M8" s="7"/>
    </row>
    <row r="9" spans="1:13" ht="16.2" x14ac:dyDescent="0.3">
      <c r="A9" s="7" t="s">
        <v>54</v>
      </c>
      <c r="B9" s="7"/>
      <c r="C9" s="7"/>
      <c r="D9" s="7"/>
      <c r="E9" s="7"/>
      <c r="F9" s="7"/>
      <c r="G9" s="7" t="str">
        <f t="shared" si="1"/>
        <v/>
      </c>
      <c r="H9" s="7"/>
      <c r="I9" s="7"/>
      <c r="J9" s="7"/>
      <c r="K9" s="7" t="str">
        <f t="shared" si="2"/>
        <v/>
      </c>
      <c r="L9" s="7" t="str">
        <f t="shared" si="0"/>
        <v/>
      </c>
      <c r="M9" s="7"/>
    </row>
    <row r="10" spans="1:13" ht="16.2" x14ac:dyDescent="0.3">
      <c r="A10" s="7" t="s">
        <v>55</v>
      </c>
      <c r="B10" s="7"/>
      <c r="C10" s="7"/>
      <c r="D10" s="7"/>
      <c r="E10" s="7"/>
      <c r="F10" s="7"/>
      <c r="G10" s="7" t="str">
        <f t="shared" si="1"/>
        <v/>
      </c>
      <c r="H10" s="7"/>
      <c r="I10" s="7"/>
      <c r="J10" s="7"/>
      <c r="K10" s="7" t="str">
        <f t="shared" si="2"/>
        <v/>
      </c>
      <c r="L10" s="7" t="str">
        <f t="shared" si="0"/>
        <v/>
      </c>
      <c r="M10" s="7"/>
    </row>
    <row r="11" spans="1:13" ht="16.2" x14ac:dyDescent="0.3">
      <c r="A11" s="7" t="s">
        <v>56</v>
      </c>
      <c r="B11" s="7"/>
      <c r="C11" s="7"/>
      <c r="D11" s="7"/>
      <c r="E11" s="7"/>
      <c r="F11" s="7"/>
      <c r="G11" s="7" t="str">
        <f t="shared" si="1"/>
        <v/>
      </c>
      <c r="H11" s="7"/>
      <c r="I11" s="7"/>
      <c r="J11" s="7"/>
      <c r="K11" s="7" t="str">
        <f t="shared" si="2"/>
        <v/>
      </c>
      <c r="L11" s="7" t="str">
        <f t="shared" si="0"/>
        <v/>
      </c>
      <c r="M11" s="7"/>
    </row>
    <row r="12" spans="1:13" ht="16.2" x14ac:dyDescent="0.3">
      <c r="A12" s="7" t="s">
        <v>57</v>
      </c>
      <c r="B12" s="7"/>
      <c r="C12" s="7"/>
      <c r="D12" s="7"/>
      <c r="E12" s="7"/>
      <c r="F12" s="7"/>
      <c r="G12" s="7" t="str">
        <f t="shared" si="1"/>
        <v/>
      </c>
      <c r="H12" s="7"/>
      <c r="I12" s="7"/>
      <c r="J12" s="7"/>
      <c r="K12" s="7" t="str">
        <f t="shared" si="2"/>
        <v/>
      </c>
      <c r="L12" s="7" t="str">
        <f t="shared" si="0"/>
        <v/>
      </c>
      <c r="M12" s="7"/>
    </row>
    <row r="13" spans="1:13" ht="16.2" x14ac:dyDescent="0.3">
      <c r="A13" s="7" t="s">
        <v>58</v>
      </c>
      <c r="B13" s="7"/>
      <c r="C13" s="7"/>
      <c r="D13" s="7"/>
      <c r="E13" s="7"/>
      <c r="F13" s="7"/>
      <c r="G13" s="7" t="str">
        <f t="shared" si="1"/>
        <v/>
      </c>
      <c r="H13" s="7"/>
      <c r="I13" s="7"/>
      <c r="J13" s="7"/>
      <c r="K13" s="7" t="str">
        <f t="shared" si="2"/>
        <v/>
      </c>
      <c r="L13" s="7" t="str">
        <f t="shared" si="0"/>
        <v/>
      </c>
      <c r="M13" s="7"/>
    </row>
  </sheetData>
  <autoFilter ref="A1:M13" xr:uid="{00000000-0009-0000-0000-000001000000}"/>
  <conditionalFormatting sqref="G2:G13">
    <cfRule type="cellIs" dxfId="8" priority="1" operator="greaterThanOrEqual">
      <formula>15</formula>
    </cfRule>
    <cfRule type="cellIs" dxfId="7" priority="2" operator="between">
      <formula>8</formula>
      <formula>14</formula>
    </cfRule>
    <cfRule type="cellIs" dxfId="6" priority="3" operator="lessThanOrEqual">
      <formula>7</formula>
    </cfRule>
  </conditionalFormatting>
  <conditionalFormatting sqref="K2:K13">
    <cfRule type="cellIs" dxfId="5" priority="4" operator="greaterThanOrEqual">
      <formula>15</formula>
    </cfRule>
    <cfRule type="cellIs" dxfId="4" priority="5" operator="between">
      <formula>8</formula>
      <formula>14</formula>
    </cfRule>
    <cfRule type="cellIs" dxfId="3" priority="6" operator="lessThanOrEqual">
      <formula>7</formula>
    </cfRule>
  </conditionalFormatting>
  <conditionalFormatting sqref="L2:L13">
    <cfRule type="expression" dxfId="2" priority="7">
      <formula>L2="Red"</formula>
    </cfRule>
    <cfRule type="expression" dxfId="1" priority="8">
      <formula>L2="Yellow"</formula>
    </cfRule>
    <cfRule type="expression" dxfId="0" priority="9">
      <formula>L2="Green"</formula>
    </cfRule>
  </conditionalFormatting>
  <dataValidations count="2">
    <dataValidation type="whole" allowBlank="1" sqref="E2:F13 I2:J13" xr:uid="{00000000-0002-0000-0100-000000000000}">
      <formula1>1</formula1>
      <formula2>5</formula2>
    </dataValidation>
    <dataValidation type="list" allowBlank="1" sqref="D2:D13" xr:uid="{00000000-0002-0000-0100-000001000000}">
      <formula1>"Sara,Omar,Bilal,Nida,Hamza"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"/>
  <sheetViews>
    <sheetView showGridLines="0"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1" width="30.88671875" customWidth="1"/>
    <col min="2" max="6" width="14" customWidth="1"/>
    <col min="9" max="9" width="38.44140625" customWidth="1"/>
    <col min="10" max="14" width="14" customWidth="1"/>
  </cols>
  <sheetData>
    <row r="1" spans="1:14" ht="19.8" x14ac:dyDescent="0.45">
      <c r="A1" s="11" t="s">
        <v>59</v>
      </c>
      <c r="I1" s="11" t="s">
        <v>60</v>
      </c>
    </row>
    <row r="3" spans="1:14" ht="16.2" x14ac:dyDescent="0.4">
      <c r="A3" s="5" t="s">
        <v>61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I3" s="5" t="s">
        <v>61</v>
      </c>
      <c r="J3" s="5">
        <v>1</v>
      </c>
      <c r="K3" s="5">
        <v>2</v>
      </c>
      <c r="L3" s="5">
        <v>3</v>
      </c>
      <c r="M3" s="5">
        <v>4</v>
      </c>
      <c r="N3" s="5">
        <v>5</v>
      </c>
    </row>
    <row r="4" spans="1:14" ht="48" customHeight="1" x14ac:dyDescent="0.4">
      <c r="A4" s="5">
        <v>1</v>
      </c>
      <c r="B4" s="12" t="s">
        <v>62</v>
      </c>
      <c r="C4" s="12" t="s">
        <v>63</v>
      </c>
      <c r="D4" s="12" t="s">
        <v>64</v>
      </c>
      <c r="E4" s="12" t="s">
        <v>65</v>
      </c>
      <c r="F4" s="12" t="s">
        <v>66</v>
      </c>
      <c r="I4" s="5">
        <v>1</v>
      </c>
      <c r="J4" s="12" t="s">
        <v>62</v>
      </c>
      <c r="K4" s="12" t="s">
        <v>63</v>
      </c>
      <c r="L4" s="12" t="s">
        <v>64</v>
      </c>
      <c r="M4" s="12" t="s">
        <v>65</v>
      </c>
      <c r="N4" s="12" t="s">
        <v>66</v>
      </c>
    </row>
    <row r="5" spans="1:14" ht="48" customHeight="1" x14ac:dyDescent="0.4">
      <c r="A5" s="5">
        <v>2</v>
      </c>
      <c r="B5" s="12" t="s">
        <v>63</v>
      </c>
      <c r="C5" s="12" t="s">
        <v>65</v>
      </c>
      <c r="D5" s="12" t="s">
        <v>67</v>
      </c>
      <c r="E5" s="13" t="s">
        <v>68</v>
      </c>
      <c r="F5" s="13" t="s">
        <v>69</v>
      </c>
      <c r="I5" s="5">
        <v>2</v>
      </c>
      <c r="J5" s="12" t="s">
        <v>63</v>
      </c>
      <c r="K5" s="12" t="s">
        <v>65</v>
      </c>
      <c r="L5" s="12" t="s">
        <v>67</v>
      </c>
      <c r="M5" s="13" t="s">
        <v>68</v>
      </c>
      <c r="N5" s="13" t="s">
        <v>69</v>
      </c>
    </row>
    <row r="6" spans="1:14" ht="48" customHeight="1" x14ac:dyDescent="0.4">
      <c r="A6" s="5">
        <v>3</v>
      </c>
      <c r="B6" s="12" t="s">
        <v>64</v>
      </c>
      <c r="C6" s="12" t="s">
        <v>67</v>
      </c>
      <c r="D6" s="13" t="s">
        <v>70</v>
      </c>
      <c r="E6" s="13" t="s">
        <v>71</v>
      </c>
      <c r="F6" s="14" t="s">
        <v>72</v>
      </c>
      <c r="I6" s="5">
        <v>3</v>
      </c>
      <c r="J6" s="12" t="s">
        <v>64</v>
      </c>
      <c r="K6" s="12" t="s">
        <v>67</v>
      </c>
      <c r="L6" s="13" t="s">
        <v>70</v>
      </c>
      <c r="M6" s="13" t="s">
        <v>71</v>
      </c>
      <c r="N6" s="14" t="s">
        <v>72</v>
      </c>
    </row>
    <row r="7" spans="1:14" ht="48" customHeight="1" x14ac:dyDescent="0.4">
      <c r="A7" s="5">
        <v>4</v>
      </c>
      <c r="B7" s="12" t="s">
        <v>65</v>
      </c>
      <c r="C7" s="13" t="s">
        <v>68</v>
      </c>
      <c r="D7" s="13" t="s">
        <v>71</v>
      </c>
      <c r="E7" s="14" t="s">
        <v>73</v>
      </c>
      <c r="F7" s="14" t="s">
        <v>74</v>
      </c>
      <c r="I7" s="5">
        <v>4</v>
      </c>
      <c r="J7" s="12" t="s">
        <v>65</v>
      </c>
      <c r="K7" s="13" t="s">
        <v>68</v>
      </c>
      <c r="L7" s="13" t="s">
        <v>71</v>
      </c>
      <c r="M7" s="14" t="s">
        <v>73</v>
      </c>
      <c r="N7" s="14" t="s">
        <v>74</v>
      </c>
    </row>
    <row r="8" spans="1:14" ht="48" customHeight="1" x14ac:dyDescent="0.4">
      <c r="A8" s="5">
        <v>5</v>
      </c>
      <c r="B8" s="12" t="s">
        <v>66</v>
      </c>
      <c r="C8" s="13" t="s">
        <v>69</v>
      </c>
      <c r="D8" s="14" t="s">
        <v>72</v>
      </c>
      <c r="E8" s="14" t="s">
        <v>74</v>
      </c>
      <c r="F8" s="14" t="s">
        <v>75</v>
      </c>
      <c r="I8" s="5">
        <v>5</v>
      </c>
      <c r="J8" s="12" t="s">
        <v>66</v>
      </c>
      <c r="K8" s="13" t="s">
        <v>69</v>
      </c>
      <c r="L8" s="14" t="s">
        <v>72</v>
      </c>
      <c r="M8" s="14" t="s">
        <v>74</v>
      </c>
      <c r="N8" s="14" t="s">
        <v>75</v>
      </c>
    </row>
  </sheetData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"/>
  <sheetViews>
    <sheetView showGridLines="0" workbookViewId="0">
      <pane ySplit="1" topLeftCell="A2" activePane="bottomLeft" state="frozen"/>
      <selection pane="bottomLeft" activeCell="K3" sqref="K3"/>
    </sheetView>
  </sheetViews>
  <sheetFormatPr defaultRowHeight="14.4" x14ac:dyDescent="0.3"/>
  <cols>
    <col min="1" max="1" width="24" customWidth="1"/>
    <col min="2" max="2" width="15" customWidth="1"/>
    <col min="3" max="3" width="16" customWidth="1"/>
    <col min="4" max="4" width="15" customWidth="1"/>
    <col min="5" max="5" width="12" customWidth="1"/>
    <col min="6" max="6" width="15" customWidth="1"/>
    <col min="7" max="7" width="25" customWidth="1"/>
    <col min="8" max="8" width="16" customWidth="1"/>
    <col min="9" max="9" width="13" customWidth="1"/>
    <col min="10" max="10" width="15" customWidth="1"/>
    <col min="11" max="11" width="16" customWidth="1"/>
    <col min="12" max="12" width="15" customWidth="1"/>
    <col min="13" max="13" width="25" customWidth="1"/>
  </cols>
  <sheetData>
    <row r="1" spans="1:13" ht="37.950000000000003" customHeight="1" x14ac:dyDescent="0.3">
      <c r="A1" s="6" t="s">
        <v>76</v>
      </c>
      <c r="B1" s="6" t="s">
        <v>77</v>
      </c>
      <c r="C1" s="6" t="s">
        <v>78</v>
      </c>
      <c r="D1" s="6" t="s">
        <v>79</v>
      </c>
      <c r="E1" s="6" t="s">
        <v>80</v>
      </c>
      <c r="F1" s="6" t="s">
        <v>81</v>
      </c>
      <c r="G1" s="6" t="s">
        <v>82</v>
      </c>
      <c r="H1" s="6" t="s">
        <v>83</v>
      </c>
      <c r="I1" s="6" t="s">
        <v>84</v>
      </c>
      <c r="J1" s="6" t="s">
        <v>85</v>
      </c>
      <c r="K1" s="6" t="s">
        <v>86</v>
      </c>
      <c r="L1" s="6" t="s">
        <v>87</v>
      </c>
      <c r="M1" s="6" t="s">
        <v>88</v>
      </c>
    </row>
    <row r="2" spans="1:13" ht="16.2" x14ac:dyDescent="0.3">
      <c r="A2" s="7" t="s">
        <v>89</v>
      </c>
      <c r="B2" s="15">
        <v>400000</v>
      </c>
      <c r="C2" s="16">
        <v>0.6</v>
      </c>
      <c r="D2" s="15">
        <v>240000</v>
      </c>
      <c r="E2" s="16">
        <v>0.3</v>
      </c>
      <c r="F2" s="15">
        <f>D2*E2</f>
        <v>72000</v>
      </c>
      <c r="G2" s="7" t="s">
        <v>90</v>
      </c>
      <c r="H2" s="15">
        <v>6000</v>
      </c>
      <c r="I2" s="16">
        <v>0.1</v>
      </c>
      <c r="J2" s="15">
        <v>24000</v>
      </c>
      <c r="K2" s="15" t="s">
        <v>166</v>
      </c>
      <c r="L2" s="15"/>
      <c r="M2" s="7"/>
    </row>
    <row r="3" spans="1:13" ht="16.2" x14ac:dyDescent="0.3">
      <c r="A3" s="7" t="s">
        <v>91</v>
      </c>
      <c r="B3" s="15">
        <v>200000</v>
      </c>
      <c r="C3" s="16">
        <v>0.4</v>
      </c>
      <c r="D3" s="15"/>
      <c r="E3" s="16"/>
      <c r="F3" s="15">
        <f>D3*E3</f>
        <v>0</v>
      </c>
      <c r="G3" s="7" t="s">
        <v>92</v>
      </c>
      <c r="H3" s="15">
        <v>10000</v>
      </c>
      <c r="I3" s="16">
        <v>0.2</v>
      </c>
      <c r="J3" s="15"/>
      <c r="K3" s="15"/>
      <c r="L3" s="15"/>
      <c r="M3" s="7"/>
    </row>
    <row r="4" spans="1:13" ht="16.2" x14ac:dyDescent="0.3">
      <c r="A4" s="7" t="s">
        <v>93</v>
      </c>
      <c r="B4" s="15">
        <v>300000</v>
      </c>
      <c r="C4" s="16">
        <v>0.5</v>
      </c>
      <c r="D4" s="15"/>
      <c r="E4" s="16"/>
      <c r="F4" s="15">
        <f>D4*E4</f>
        <v>0</v>
      </c>
      <c r="G4" s="7" t="s">
        <v>94</v>
      </c>
      <c r="H4" s="15">
        <v>4000</v>
      </c>
      <c r="I4" s="16">
        <v>0.05</v>
      </c>
      <c r="J4" s="15"/>
      <c r="K4" s="15"/>
      <c r="L4" s="15"/>
      <c r="M4" s="7"/>
    </row>
  </sheetData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6"/>
  <sheetViews>
    <sheetView showGridLines="0"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10" customWidth="1"/>
    <col min="2" max="2" width="28" customWidth="1"/>
    <col min="3" max="3" width="18" customWidth="1"/>
    <col min="4" max="4" width="35" customWidth="1"/>
    <col min="5" max="5" width="16" customWidth="1"/>
    <col min="6" max="6" width="42" customWidth="1"/>
    <col min="8" max="8" width="42" customWidth="1"/>
  </cols>
  <sheetData>
    <row r="1" spans="1:8" ht="32.4" x14ac:dyDescent="0.4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H1" s="17" t="s">
        <v>101</v>
      </c>
    </row>
    <row r="2" spans="1:8" ht="32.4" x14ac:dyDescent="0.3">
      <c r="A2" s="7" t="s">
        <v>46</v>
      </c>
      <c r="B2" s="7" t="s">
        <v>102</v>
      </c>
      <c r="C2" s="7" t="s">
        <v>103</v>
      </c>
      <c r="D2" s="7" t="s">
        <v>104</v>
      </c>
      <c r="E2" s="7" t="s">
        <v>105</v>
      </c>
      <c r="F2" s="7" t="s">
        <v>106</v>
      </c>
      <c r="H2" s="7" t="s">
        <v>107</v>
      </c>
    </row>
    <row r="3" spans="1:8" ht="16.2" x14ac:dyDescent="0.3">
      <c r="A3" s="7" t="s">
        <v>48</v>
      </c>
      <c r="B3" s="7"/>
      <c r="C3" s="7"/>
      <c r="D3" s="7"/>
      <c r="E3" s="7"/>
      <c r="F3" s="7"/>
      <c r="H3" s="7" t="s">
        <v>108</v>
      </c>
    </row>
    <row r="4" spans="1:8" ht="16.2" x14ac:dyDescent="0.3">
      <c r="A4" s="7" t="s">
        <v>49</v>
      </c>
      <c r="B4" s="7"/>
      <c r="C4" s="7"/>
      <c r="D4" s="7"/>
      <c r="E4" s="7"/>
      <c r="F4" s="7"/>
      <c r="H4" s="7" t="s">
        <v>109</v>
      </c>
    </row>
    <row r="5" spans="1:8" ht="16.2" x14ac:dyDescent="0.3">
      <c r="A5" s="7" t="s">
        <v>50</v>
      </c>
      <c r="B5" s="7"/>
      <c r="C5" s="7"/>
      <c r="D5" s="7"/>
      <c r="E5" s="7"/>
      <c r="F5" s="7"/>
      <c r="H5" s="7" t="s">
        <v>110</v>
      </c>
    </row>
    <row r="6" spans="1:8" ht="16.2" x14ac:dyDescent="0.3">
      <c r="A6" s="7" t="s">
        <v>51</v>
      </c>
      <c r="B6" s="7"/>
      <c r="C6" s="7"/>
      <c r="D6" s="7"/>
      <c r="E6" s="7"/>
      <c r="F6" s="7"/>
      <c r="H6" s="7" t="s">
        <v>111</v>
      </c>
    </row>
    <row r="7" spans="1:8" ht="16.2" x14ac:dyDescent="0.3">
      <c r="A7" s="7" t="s">
        <v>52</v>
      </c>
      <c r="B7" s="7"/>
      <c r="C7" s="7"/>
      <c r="D7" s="7"/>
      <c r="E7" s="7"/>
      <c r="F7" s="7"/>
      <c r="H7" s="7" t="s">
        <v>112</v>
      </c>
    </row>
    <row r="8" spans="1:8" ht="16.2" x14ac:dyDescent="0.3">
      <c r="A8" s="7" t="s">
        <v>53</v>
      </c>
      <c r="B8" s="7"/>
      <c r="C8" s="7"/>
      <c r="D8" s="7"/>
      <c r="E8" s="7"/>
      <c r="F8" s="7"/>
      <c r="H8" s="7" t="s">
        <v>113</v>
      </c>
    </row>
    <row r="9" spans="1:8" ht="16.2" x14ac:dyDescent="0.3">
      <c r="A9" s="7" t="s">
        <v>54</v>
      </c>
      <c r="B9" s="7"/>
      <c r="C9" s="7"/>
      <c r="D9" s="7"/>
      <c r="E9" s="7"/>
      <c r="F9" s="7"/>
      <c r="H9" s="7" t="s">
        <v>114</v>
      </c>
    </row>
    <row r="10" spans="1:8" ht="32.4" x14ac:dyDescent="0.3">
      <c r="A10" s="7" t="s">
        <v>55</v>
      </c>
      <c r="B10" s="7"/>
      <c r="C10" s="7"/>
      <c r="D10" s="7"/>
      <c r="E10" s="7"/>
      <c r="F10" s="7"/>
      <c r="H10" s="7" t="s">
        <v>115</v>
      </c>
    </row>
    <row r="11" spans="1:8" ht="16.2" x14ac:dyDescent="0.3">
      <c r="A11" s="7" t="s">
        <v>56</v>
      </c>
      <c r="B11" s="7"/>
      <c r="C11" s="7"/>
      <c r="D11" s="7"/>
      <c r="E11" s="7"/>
      <c r="F11" s="7"/>
      <c r="H11" s="7" t="s">
        <v>116</v>
      </c>
    </row>
    <row r="12" spans="1:8" ht="16.2" x14ac:dyDescent="0.3">
      <c r="A12" s="7" t="s">
        <v>57</v>
      </c>
      <c r="B12" s="7"/>
      <c r="C12" s="7"/>
      <c r="D12" s="7"/>
      <c r="E12" s="7"/>
      <c r="F12" s="7"/>
      <c r="H12" s="7" t="s">
        <v>117</v>
      </c>
    </row>
    <row r="13" spans="1:8" ht="16.2" x14ac:dyDescent="0.3">
      <c r="A13" s="7" t="s">
        <v>58</v>
      </c>
      <c r="B13" s="7"/>
      <c r="C13" s="7"/>
      <c r="D13" s="7"/>
      <c r="E13" s="7"/>
      <c r="F13" s="7"/>
      <c r="H13" s="7" t="s">
        <v>118</v>
      </c>
    </row>
    <row r="14" spans="1:8" ht="16.2" x14ac:dyDescent="0.3">
      <c r="H14" s="7" t="s">
        <v>119</v>
      </c>
    </row>
    <row r="15" spans="1:8" ht="16.2" x14ac:dyDescent="0.3">
      <c r="H15" s="7" t="s">
        <v>120</v>
      </c>
    </row>
    <row r="16" spans="1:8" ht="16.2" x14ac:dyDescent="0.3">
      <c r="H16" s="7" t="s">
        <v>121</v>
      </c>
    </row>
  </sheetData>
  <dataValidations count="1">
    <dataValidation type="list" allowBlank="1" sqref="C2:C13" xr:uid="{00000000-0002-0000-0400-000000000000}">
      <formula1>"Y,N"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"/>
  <sheetViews>
    <sheetView showGridLines="0" workbookViewId="0">
      <pane ySplit="3" topLeftCell="A4" activePane="bottomLeft" state="frozen"/>
      <selection pane="bottomLeft" activeCell="E10" sqref="E10"/>
    </sheetView>
  </sheetViews>
  <sheetFormatPr defaultRowHeight="14.4" x14ac:dyDescent="0.3"/>
  <cols>
    <col min="1" max="1" width="8" customWidth="1"/>
    <col min="2" max="2" width="10" customWidth="1"/>
    <col min="3" max="3" width="16" customWidth="1"/>
    <col min="4" max="4" width="30" customWidth="1"/>
    <col min="5" max="5" width="42" customWidth="1"/>
    <col min="6" max="8" width="14" customWidth="1"/>
    <col min="9" max="9" width="22" customWidth="1"/>
  </cols>
  <sheetData>
    <row r="1" spans="1:9" ht="15.6" x14ac:dyDescent="0.4">
      <c r="A1" s="23" t="s">
        <v>122</v>
      </c>
      <c r="B1" s="24"/>
      <c r="C1" s="24"/>
      <c r="D1" s="24"/>
      <c r="E1" s="24"/>
      <c r="F1" s="24"/>
      <c r="G1" s="24"/>
      <c r="H1" s="24"/>
      <c r="I1" s="24"/>
    </row>
    <row r="3" spans="1:9" ht="48.6" x14ac:dyDescent="0.3">
      <c r="A3" s="6" t="s">
        <v>123</v>
      </c>
      <c r="B3" s="6" t="s">
        <v>95</v>
      </c>
      <c r="C3" s="6" t="s">
        <v>124</v>
      </c>
      <c r="D3" s="6" t="s">
        <v>125</v>
      </c>
      <c r="E3" s="6" t="s">
        <v>126</v>
      </c>
      <c r="F3" s="6" t="s">
        <v>36</v>
      </c>
      <c r="G3" s="6" t="s">
        <v>127</v>
      </c>
      <c r="H3" s="6" t="s">
        <v>128</v>
      </c>
      <c r="I3" s="6" t="s">
        <v>129</v>
      </c>
    </row>
    <row r="4" spans="1:9" ht="16.2" x14ac:dyDescent="0.3">
      <c r="A4" s="7"/>
      <c r="B4" s="7"/>
      <c r="C4" s="7"/>
      <c r="D4" s="7"/>
      <c r="E4" s="7"/>
      <c r="F4" s="7"/>
      <c r="G4" s="15"/>
      <c r="H4" s="18"/>
      <c r="I4" s="7"/>
    </row>
    <row r="5" spans="1:9" ht="16.2" x14ac:dyDescent="0.3">
      <c r="A5" s="7"/>
      <c r="B5" s="7"/>
      <c r="C5" s="7"/>
      <c r="D5" s="7"/>
      <c r="E5" s="7"/>
      <c r="F5" s="7"/>
      <c r="G5" s="15"/>
      <c r="H5" s="18"/>
      <c r="I5" s="7"/>
    </row>
    <row r="6" spans="1:9" ht="16.2" x14ac:dyDescent="0.3">
      <c r="A6" s="7"/>
      <c r="B6" s="7"/>
      <c r="C6" s="7"/>
      <c r="D6" s="7"/>
      <c r="E6" s="7"/>
      <c r="F6" s="7"/>
      <c r="G6" s="15"/>
      <c r="H6" s="18"/>
      <c r="I6" s="7"/>
    </row>
    <row r="7" spans="1:9" ht="16.2" x14ac:dyDescent="0.3">
      <c r="A7" s="7"/>
      <c r="B7" s="7"/>
      <c r="C7" s="7"/>
      <c r="D7" s="7"/>
      <c r="E7" s="7"/>
      <c r="F7" s="7"/>
      <c r="G7" s="15"/>
      <c r="H7" s="18"/>
      <c r="I7" s="7"/>
    </row>
    <row r="8" spans="1:9" ht="16.2" x14ac:dyDescent="0.3">
      <c r="A8" s="7"/>
      <c r="B8" s="7"/>
      <c r="C8" s="7"/>
      <c r="D8" s="7"/>
      <c r="E8" s="7"/>
      <c r="F8" s="7"/>
      <c r="G8" s="15"/>
      <c r="H8" s="18"/>
      <c r="I8" s="7"/>
    </row>
  </sheetData>
  <mergeCells count="1">
    <mergeCell ref="A1:I1"/>
  </mergeCells>
  <dataValidations count="2">
    <dataValidation type="list" allowBlank="1" sqref="D4:D8" xr:uid="{00000000-0002-0000-0500-000000000000}">
      <formula1>"Mitigate,Transfer,Avoid,Accept"</formula1>
    </dataValidation>
    <dataValidation type="list" allowBlank="1" sqref="F4:F8" xr:uid="{00000000-0002-0000-0500-000001000000}">
      <formula1>"Sara,Omar,Bilal,Nida,Hamza"</formula1>
    </dataValidation>
  </dataValidation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"/>
  <sheetViews>
    <sheetView showGridLines="0" tabSelected="1" workbookViewId="0">
      <pane ySplit="2" topLeftCell="A7" activePane="bottomLeft" state="frozen"/>
      <selection pane="bottomLeft" activeCell="B4" sqref="B4:H4"/>
    </sheetView>
  </sheetViews>
  <sheetFormatPr defaultRowHeight="14.4" x14ac:dyDescent="0.3"/>
  <cols>
    <col min="1" max="1" width="50.33203125" customWidth="1"/>
    <col min="2" max="2" width="28" customWidth="1"/>
    <col min="4" max="4" width="18" customWidth="1"/>
    <col min="5" max="5" width="24" customWidth="1"/>
    <col min="7" max="7" width="14" customWidth="1"/>
    <col min="8" max="8" width="24" customWidth="1"/>
  </cols>
  <sheetData>
    <row r="1" spans="1:8" ht="21.6" x14ac:dyDescent="0.5">
      <c r="A1" s="1" t="s">
        <v>130</v>
      </c>
    </row>
    <row r="3" spans="1:8" ht="16.2" x14ac:dyDescent="0.4">
      <c r="A3" s="2" t="s">
        <v>95</v>
      </c>
      <c r="B3" s="19"/>
    </row>
    <row r="4" spans="1:8" ht="42" customHeight="1" x14ac:dyDescent="0.4">
      <c r="A4" s="2" t="s">
        <v>131</v>
      </c>
      <c r="B4" s="25"/>
      <c r="C4" s="26"/>
      <c r="D4" s="26"/>
      <c r="E4" s="26"/>
      <c r="F4" s="26"/>
      <c r="G4" s="26"/>
      <c r="H4" s="27"/>
    </row>
    <row r="5" spans="1:8" ht="42" customHeight="1" x14ac:dyDescent="0.4">
      <c r="A5" s="2" t="s">
        <v>132</v>
      </c>
      <c r="B5" s="25"/>
      <c r="C5" s="26"/>
      <c r="D5" s="26"/>
      <c r="E5" s="26"/>
      <c r="F5" s="26"/>
      <c r="G5" s="26"/>
      <c r="H5" s="27"/>
    </row>
    <row r="6" spans="1:8" ht="42" customHeight="1" x14ac:dyDescent="0.4">
      <c r="A6" s="2" t="s">
        <v>133</v>
      </c>
      <c r="B6" s="25"/>
      <c r="C6" s="26"/>
      <c r="D6" s="26"/>
      <c r="E6" s="26"/>
      <c r="F6" s="26"/>
      <c r="G6" s="26"/>
      <c r="H6" s="27"/>
    </row>
    <row r="7" spans="1:8" ht="42" customHeight="1" x14ac:dyDescent="0.4">
      <c r="A7" s="2" t="s">
        <v>134</v>
      </c>
      <c r="B7" s="25"/>
      <c r="C7" s="26"/>
      <c r="D7" s="26"/>
      <c r="E7" s="26"/>
      <c r="F7" s="26"/>
      <c r="G7" s="26"/>
      <c r="H7" s="27"/>
    </row>
    <row r="8" spans="1:8" ht="42" customHeight="1" x14ac:dyDescent="0.4">
      <c r="A8" s="2" t="s">
        <v>135</v>
      </c>
      <c r="B8" s="25"/>
      <c r="C8" s="26"/>
      <c r="D8" s="26"/>
      <c r="E8" s="26"/>
      <c r="F8" s="26"/>
      <c r="G8" s="26"/>
      <c r="H8" s="27"/>
    </row>
    <row r="9" spans="1:8" ht="16.2" x14ac:dyDescent="0.4">
      <c r="A9" s="2" t="s">
        <v>136</v>
      </c>
      <c r="B9" s="19"/>
      <c r="D9" s="2" t="s">
        <v>137</v>
      </c>
      <c r="E9" s="19"/>
      <c r="G9" s="2" t="s">
        <v>11</v>
      </c>
      <c r="H9" s="19"/>
    </row>
    <row r="10" spans="1:8" ht="16.2" x14ac:dyDescent="0.4">
      <c r="A10" s="2" t="s">
        <v>138</v>
      </c>
      <c r="B10" s="19"/>
      <c r="D10" s="2" t="s">
        <v>137</v>
      </c>
      <c r="E10" s="19"/>
      <c r="G10" s="2" t="s">
        <v>11</v>
      </c>
      <c r="H10" s="19"/>
    </row>
    <row r="11" spans="1:8" ht="16.2" x14ac:dyDescent="0.4">
      <c r="A11" s="2" t="s">
        <v>139</v>
      </c>
      <c r="B11" s="19"/>
      <c r="D11" s="2" t="s">
        <v>140</v>
      </c>
      <c r="E11" s="19"/>
    </row>
    <row r="12" spans="1:8" ht="42" customHeight="1" x14ac:dyDescent="0.4">
      <c r="A12" s="2" t="s">
        <v>141</v>
      </c>
      <c r="B12" s="25"/>
      <c r="C12" s="26"/>
      <c r="D12" s="26"/>
      <c r="E12" s="26"/>
      <c r="F12" s="26"/>
      <c r="G12" s="26"/>
      <c r="H12" s="27"/>
    </row>
    <row r="14" spans="1:8" ht="33.6" x14ac:dyDescent="0.4">
      <c r="A14" s="2" t="s">
        <v>142</v>
      </c>
      <c r="B14" s="3" t="s">
        <v>143</v>
      </c>
    </row>
  </sheetData>
  <mergeCells count="6">
    <mergeCell ref="B8:H8"/>
    <mergeCell ref="B4:H4"/>
    <mergeCell ref="B12:H12"/>
    <mergeCell ref="B6:H6"/>
    <mergeCell ref="B7:H7"/>
    <mergeCell ref="B5:H5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6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40" customWidth="1"/>
    <col min="4" max="4" width="16" customWidth="1"/>
    <col min="5" max="5" width="22" customWidth="1"/>
    <col min="6" max="6" width="16" customWidth="1"/>
    <col min="7" max="8" width="18" customWidth="1"/>
  </cols>
  <sheetData>
    <row r="1" spans="1:8" ht="23.4" x14ac:dyDescent="0.55000000000000004">
      <c r="A1" s="28" t="s">
        <v>144</v>
      </c>
      <c r="B1" s="24"/>
      <c r="C1" s="24"/>
      <c r="D1" s="24"/>
      <c r="E1" s="24"/>
      <c r="F1" s="24"/>
      <c r="G1" s="24"/>
      <c r="H1" s="24"/>
    </row>
    <row r="3" spans="1:8" ht="16.8" x14ac:dyDescent="0.4">
      <c r="A3" s="2" t="s">
        <v>145</v>
      </c>
      <c r="B3" s="20" t="s">
        <v>146</v>
      </c>
    </row>
    <row r="4" spans="1:8" ht="16.8" x14ac:dyDescent="0.4">
      <c r="A4" s="2" t="s">
        <v>147</v>
      </c>
      <c r="B4" s="20" t="s">
        <v>148</v>
      </c>
    </row>
    <row r="5" spans="1:8" ht="16.8" x14ac:dyDescent="0.4">
      <c r="A5" s="2" t="s">
        <v>11</v>
      </c>
      <c r="B5" s="20"/>
    </row>
    <row r="7" spans="1:8" ht="16.8" x14ac:dyDescent="0.4">
      <c r="A7" s="4" t="s">
        <v>149</v>
      </c>
    </row>
    <row r="8" spans="1:8" ht="16.8" x14ac:dyDescent="0.4">
      <c r="A8" s="2" t="s">
        <v>150</v>
      </c>
      <c r="B8" s="20">
        <f>COUNTA('Risk register'!A2:A13)</f>
        <v>12</v>
      </c>
      <c r="D8" s="2" t="s">
        <v>28</v>
      </c>
      <c r="E8" s="20">
        <f>COUNTIF('Risk register'!L2:L13,"Red")</f>
        <v>0</v>
      </c>
      <c r="G8" s="2" t="s">
        <v>24</v>
      </c>
      <c r="H8" s="20">
        <f>COUNTIF('Risk register'!L2:L13,"Yellow")</f>
        <v>1</v>
      </c>
    </row>
    <row r="9" spans="1:8" ht="16.8" x14ac:dyDescent="0.4">
      <c r="A9" s="2" t="s">
        <v>20</v>
      </c>
      <c r="B9" s="20">
        <f>COUNTIF('Risk register'!L2:L13,"Green")</f>
        <v>0</v>
      </c>
    </row>
    <row r="11" spans="1:8" ht="16.8" x14ac:dyDescent="0.4">
      <c r="A11" s="4" t="s">
        <v>151</v>
      </c>
    </row>
    <row r="12" spans="1:8" ht="16.2" x14ac:dyDescent="0.3">
      <c r="A12" s="6" t="s">
        <v>76</v>
      </c>
      <c r="B12" s="6" t="s">
        <v>152</v>
      </c>
      <c r="C12" s="6" t="s">
        <v>153</v>
      </c>
      <c r="D12" s="6" t="s">
        <v>36</v>
      </c>
    </row>
    <row r="13" spans="1:8" ht="36" customHeight="1" x14ac:dyDescent="0.3">
      <c r="A13" s="7" t="str">
        <f>IF(B13="","",INDEX('Risk register'!$A$2:$A$13,MATCH(B13,'Risk register'!$K$2:$K$13,0)))</f>
        <v>R1</v>
      </c>
      <c r="B13" s="7">
        <f>IFERROR(LARGE('Risk register'!$K$2:$K$13,1),"")</f>
        <v>9</v>
      </c>
      <c r="C13" s="7" t="str">
        <f>IF(A13="","",INDEX('Risk register'!$B$2:$B$13,MATCH(B13,'Risk register'!$K$2:$K$13,0)))</f>
        <v>Ex-staff accounts removed late</v>
      </c>
      <c r="D13" s="7" t="str">
        <f>IF(A13="","",INDEX('Risk register'!$D$2:$D$13,MATCH(B13,'Risk register'!$K$2:$K$13,0)))</f>
        <v>Nida</v>
      </c>
    </row>
    <row r="14" spans="1:8" ht="36" customHeight="1" x14ac:dyDescent="0.3">
      <c r="A14" s="7" t="str">
        <f>IF(B14="","",INDEX('Risk register'!$A$2:$A$13,MATCH(B14,'Risk register'!$K$2:$K$13,0)))</f>
        <v/>
      </c>
      <c r="B14" s="7" t="str">
        <f>IFERROR(LARGE('Risk register'!$K$2:$K$13,2),"")</f>
        <v/>
      </c>
      <c r="C14" s="7" t="str">
        <f>IF(A14="","",INDEX('Risk register'!$B$2:$B$13,MATCH(B14,'Risk register'!$K$2:$K$13,0)))</f>
        <v/>
      </c>
      <c r="D14" s="7" t="str">
        <f>IF(A14="","",INDEX('Risk register'!$D$2:$D$13,MATCH(B14,'Risk register'!$K$2:$K$13,0)))</f>
        <v/>
      </c>
    </row>
    <row r="15" spans="1:8" ht="36" customHeight="1" x14ac:dyDescent="0.3">
      <c r="A15" s="7" t="str">
        <f>IF(B15="","",INDEX('Risk register'!$A$2:$A$13,MATCH(B15,'Risk register'!$K$2:$K$13,0)))</f>
        <v/>
      </c>
      <c r="B15" s="7" t="str">
        <f>IFERROR(LARGE('Risk register'!$K$2:$K$13,3),"")</f>
        <v/>
      </c>
      <c r="C15" s="7" t="str">
        <f>IF(A15="","",INDEX('Risk register'!$B$2:$B$13,MATCH(B15,'Risk register'!$K$2:$K$13,0)))</f>
        <v/>
      </c>
      <c r="D15" s="7" t="str">
        <f>IF(A15="","",INDEX('Risk register'!$D$2:$D$13,MATCH(B15,'Risk register'!$K$2:$K$13,0)))</f>
        <v/>
      </c>
    </row>
    <row r="17" spans="1:8" ht="16.8" x14ac:dyDescent="0.4">
      <c r="A17" s="4" t="s">
        <v>154</v>
      </c>
      <c r="E17" s="4" t="s">
        <v>155</v>
      </c>
    </row>
    <row r="18" spans="1:8" ht="16.8" x14ac:dyDescent="0.4">
      <c r="A18" s="6" t="s">
        <v>126</v>
      </c>
      <c r="B18" s="6" t="s">
        <v>156</v>
      </c>
      <c r="C18" s="6" t="s">
        <v>157</v>
      </c>
      <c r="E18" s="2" t="s">
        <v>158</v>
      </c>
      <c r="F18" s="21">
        <f>SUM(ALE!F2:F4)</f>
        <v>72000</v>
      </c>
    </row>
    <row r="19" spans="1:8" ht="31.95" customHeight="1" x14ac:dyDescent="0.4">
      <c r="A19" s="7"/>
      <c r="B19" s="7"/>
      <c r="C19" s="7"/>
      <c r="E19" s="2" t="s">
        <v>159</v>
      </c>
      <c r="F19" s="21">
        <f>SUM(ALE!J2:J4)</f>
        <v>24000</v>
      </c>
    </row>
    <row r="20" spans="1:8" ht="31.95" customHeight="1" x14ac:dyDescent="0.4">
      <c r="A20" s="7"/>
      <c r="B20" s="7"/>
      <c r="C20" s="7"/>
      <c r="E20" s="2" t="s">
        <v>160</v>
      </c>
      <c r="F20" s="21">
        <f>SUM(ALE!H2:H4)</f>
        <v>20000</v>
      </c>
    </row>
    <row r="21" spans="1:8" ht="31.95" customHeight="1" x14ac:dyDescent="0.4">
      <c r="A21" s="7"/>
      <c r="B21" s="7"/>
      <c r="C21" s="7"/>
      <c r="E21" s="2" t="s">
        <v>87</v>
      </c>
      <c r="F21" s="21">
        <f>SUM(ALE!L2:L4)</f>
        <v>0</v>
      </c>
    </row>
    <row r="23" spans="1:8" ht="16.8" x14ac:dyDescent="0.4">
      <c r="A23" s="4" t="s">
        <v>161</v>
      </c>
      <c r="E23" s="4" t="s">
        <v>162</v>
      </c>
    </row>
    <row r="24" spans="1:8" x14ac:dyDescent="0.3">
      <c r="A24" s="25"/>
      <c r="B24" s="24"/>
      <c r="C24" s="24"/>
      <c r="D24" s="24"/>
      <c r="E24" s="25"/>
      <c r="F24" s="24"/>
      <c r="G24" s="24"/>
      <c r="H24" s="24"/>
    </row>
    <row r="25" spans="1:8" x14ac:dyDescent="0.3">
      <c r="A25" s="24"/>
      <c r="B25" s="24"/>
      <c r="C25" s="24"/>
      <c r="D25" s="24"/>
      <c r="E25" s="24"/>
      <c r="F25" s="24"/>
      <c r="G25" s="24"/>
      <c r="H25" s="24"/>
    </row>
    <row r="26" spans="1:8" x14ac:dyDescent="0.3">
      <c r="A26" s="24"/>
      <c r="B26" s="24"/>
      <c r="C26" s="24"/>
      <c r="D26" s="24"/>
      <c r="E26" s="24"/>
      <c r="F26" s="24"/>
      <c r="G26" s="24"/>
      <c r="H26" s="24"/>
    </row>
  </sheetData>
  <mergeCells count="3">
    <mergeCell ref="E24:H26"/>
    <mergeCell ref="A24:D26"/>
    <mergeCell ref="A1:H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Scope and scales</vt:lpstr>
      <vt:lpstr>Risk register</vt:lpstr>
      <vt:lpstr>Heat map</vt:lpstr>
      <vt:lpstr>ALE</vt:lpstr>
      <vt:lpstr>Mini SoA</vt:lpstr>
      <vt:lpstr>Treatment plan</vt:lpstr>
      <vt:lpstr>Risk acceptance form</vt:lpstr>
      <vt:lpstr>Exec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 Raza</cp:lastModifiedBy>
  <dcterms:created xsi:type="dcterms:W3CDTF">2026-10-08T18:23:55Z</dcterms:created>
  <dcterms:modified xsi:type="dcterms:W3CDTF">2026-10-08T18:50:29Z</dcterms:modified>
</cp:coreProperties>
</file>